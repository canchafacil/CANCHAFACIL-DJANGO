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" sheetId="1" r:id="rId4"/>
    <sheet state="visible" name="Comparación" sheetId="2" r:id="rId5"/>
  </sheets>
  <definedNames/>
  <calcPr/>
  <extLst>
    <ext uri="GoogleSheetsCustomDataVersion2">
      <go:sheetsCustomData xmlns:go="http://customooxmlschemas.google.com/" r:id="rId6" roundtripDataChecksum="AiusN0EwWUS2yYxw3VAXhshz2/TREkca4aZjUXYBKm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5">
      <text>
        <t xml:space="preserve">======
ID#AAACGqM-62I
Unknown Author    (2026-10-08 15:05:46)
Salario mensual por persona = 1.878.344 (valor puesto por la autora en la fórmula original).</t>
      </text>
    </comment>
  </commentList>
  <extLst>
    <ext uri="GoogleSheetsCustomDataVersion2">
      <go:sheetsCustomData xmlns:go="http://customooxmlschemas.google.com/" r:id="rId1" roundtripDataSignature="AMtx7mhSK5UtZ3eijVqHgTwWZzO0nA1yvA=="/>
    </ext>
  </extLst>
</comments>
</file>

<file path=xl/sharedStrings.xml><?xml version="1.0" encoding="utf-8"?>
<sst xmlns="http://schemas.openxmlformats.org/spreadsheetml/2006/main" count="94" uniqueCount="81">
  <si>
    <t>CanchaFácil – COCOMO básico (modo medio): estimado vs. código real</t>
  </si>
  <si>
    <t>Azul = dato que tú puedes cambiar · Verde = viene de la hoja "Proyecto" · Negro = fórmula</t>
  </si>
  <si>
    <t>Parámetros</t>
  </si>
  <si>
    <t>a</t>
  </si>
  <si>
    <t>Proyecto medio</t>
  </si>
  <si>
    <t>b</t>
  </si>
  <si>
    <t>c</t>
  </si>
  <si>
    <t>d</t>
  </si>
  <si>
    <t>Factores de costo</t>
  </si>
  <si>
    <t>Fiabilidad</t>
  </si>
  <si>
    <t>Tamaño bd</t>
  </si>
  <si>
    <t>Complejidad</t>
  </si>
  <si>
    <t>PF (de Proyecto)</t>
  </si>
  <si>
    <t>Restricciones tiempo de ejecución</t>
  </si>
  <si>
    <t>Restricciones memoria virtual</t>
  </si>
  <si>
    <t>Volatilidad maquina virtual</t>
  </si>
  <si>
    <t>Tiempo de respues</t>
  </si>
  <si>
    <t>Capacidad de analisis</t>
  </si>
  <si>
    <t>Experiencia en la aplicación</t>
  </si>
  <si>
    <t>LOC/PF Java</t>
  </si>
  <si>
    <t>Calidad de los programadores</t>
  </si>
  <si>
    <t>Experiencia en la maquina virtual</t>
  </si>
  <si>
    <t>Experiencia en el lenguaje</t>
  </si>
  <si>
    <t>Tecnicas actualizadas de programacion</t>
  </si>
  <si>
    <t>Utilizacion de herramientas de software</t>
  </si>
  <si>
    <t>Restricciones de tiempo</t>
  </si>
  <si>
    <t>LOC/PF Python</t>
  </si>
  <si>
    <t>Suma factores de costo</t>
  </si>
  <si>
    <t>Promedio Python según tu PDF (53 SLOC/PF)</t>
  </si>
  <si>
    <t>Salario mensual por persona</t>
  </si>
  <si>
    <t>Tomado de la fórmula B55 de tu hoja Proyecto</t>
  </si>
  <si>
    <t>Conteo real (VS Code Counter, columna Code)</t>
  </si>
  <si>
    <t>Python</t>
  </si>
  <si>
    <t>HTML+Django/Jinja</t>
  </si>
  <si>
    <t>HTML+Genshi</t>
  </si>
  <si>
    <t>CSS+Lasso</t>
  </si>
  <si>
    <t>HTML</t>
  </si>
  <si>
    <t>Factores funcionales de peso</t>
  </si>
  <si>
    <t>JavaScript</t>
  </si>
  <si>
    <t>Simple</t>
  </si>
  <si>
    <t>Media</t>
  </si>
  <si>
    <t>Total (todo lo tuyo)</t>
  </si>
  <si>
    <t>Compleja</t>
  </si>
  <si>
    <t>Contador</t>
  </si>
  <si>
    <t>Total multi</t>
  </si>
  <si>
    <t># entrada usuario</t>
  </si>
  <si>
    <t>Revisa que CSS/HTML no sean de librerías externas</t>
  </si>
  <si>
    <t>Escenario</t>
  </si>
  <si>
    <t># salida usuario</t>
  </si>
  <si>
    <t>LOC</t>
  </si>
  <si>
    <t>KLOC</t>
  </si>
  <si>
    <t># consultas usuario</t>
  </si>
  <si>
    <t>Esfuerzo (persona/mes)</t>
  </si>
  <si>
    <t>Duración (meses)</t>
  </si>
  <si>
    <t># archivos lógicos internos (tablas)</t>
  </si>
  <si>
    <t>Personal</t>
  </si>
  <si>
    <t>Costo total (COP)</t>
  </si>
  <si>
    <t># interfaces externas</t>
  </si>
  <si>
    <t>1. Estimado con PF – Java (46)</t>
  </si>
  <si>
    <t>Suma Factores de peso</t>
  </si>
  <si>
    <t xml:space="preserve">La familia más cercana &gt; https://domingogallardo.github.io/apuntes-lpp/teoria/tema01-historia-lenguajes-programacion/imagenes/genealogia-de-los-lp.png  </t>
  </si>
  <si>
    <t>PF</t>
  </si>
  <si>
    <t>Lenguaje</t>
  </si>
  <si>
    <t>Correlación</t>
  </si>
  <si>
    <t>Java</t>
  </si>
  <si>
    <t>LOC=PF* Correlación</t>
  </si>
  <si>
    <t>(Lineas de código)</t>
  </si>
  <si>
    <t>KLOC /1000</t>
  </si>
  <si>
    <t>(Kilo o miles línea de código)</t>
  </si>
  <si>
    <t>Esfuerzo</t>
  </si>
  <si>
    <t>persona/mes</t>
  </si>
  <si>
    <t>Duración</t>
  </si>
  <si>
    <t>meses</t>
  </si>
  <si>
    <t>personas</t>
  </si>
  <si>
    <t>Costo</t>
  </si>
  <si>
    <t>COP (salario × personal × meses)</t>
  </si>
  <si>
    <t>2. Estimado con PF – Python (53)</t>
  </si>
  <si>
    <t>xmes</t>
  </si>
  <si>
    <t>3. Real – solo Python</t>
  </si>
  <si>
    <t>4. Real – todo (Python + templates + CSS + JS)</t>
  </si>
  <si>
    <t>Nota: el método de la entrega es el escenario 1 (hoja Proyecto). Los escenarios 3 y 4 usan el código ya escrito, solo como comparación.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</si>
</sst>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 &quot;#,##0"/>
    <numFmt numFmtId="165" formatCode="&quot;$ &quot;#,##0.00"/>
  </numFmts>
  <fonts count="10">
    <font>
      <sz val="11.0"/>
      <color theme="1"/>
      <name val="Calibri"/>
      <scheme val="minor"/>
    </font>
    <font>
      <b/>
      <sz val="12.0"/>
      <color theme="1"/>
      <name val="Arial"/>
    </font>
    <font>
      <i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008000"/>
      <name val="Arial"/>
    </font>
    <font>
      <sz val="11.0"/>
      <color theme="1"/>
      <name val="Calibri"/>
    </font>
    <font>
      <sz val="7.0"/>
      <color theme="1"/>
      <name val="Calibri"/>
    </font>
    <font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</fills>
  <borders count="3">
    <border/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0" fillId="0" fontId="6" numFmtId="2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3" xfId="0" applyAlignment="1" applyFont="1" applyNumberForma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5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vertical="bottom" wrapText="0"/>
    </xf>
    <xf borderId="2" fillId="0" fontId="4" numFmtId="3" xfId="0" applyAlignment="1" applyBorder="1" applyFont="1" applyNumberFormat="1">
      <alignment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1" fillId="4" fontId="7" numFmtId="2" xfId="0" applyAlignment="1" applyBorder="1" applyFill="1" applyFont="1" applyNumberFormat="1">
      <alignment shrinkToFit="0" vertical="bottom" wrapText="0"/>
    </xf>
    <xf borderId="1" fillId="4" fontId="7" numFmtId="164" xfId="0" applyAlignment="1" applyBorder="1" applyFill="1" applyFont="1" applyNumberForma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2" fillId="0" fontId="4" numFmtId="164" xfId="0" applyAlignment="1" applyBorder="1" applyFont="1" applyNumberFormat="1">
      <alignment shrinkToFit="0" vertical="bottom" wrapText="0"/>
    </xf>
    <xf borderId="1" fillId="4" fontId="7" numFmtId="165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5" Type="http://schemas.openxmlformats.org/officeDocument/2006/relationships/image" Target="../media/image2.png"/><Relationship Id="rId6" Type="http://schemas.openxmlformats.org/officeDocument/2006/relationships/image" Target="../media/image5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95250</xdr:rowOff>
    </xdr:from>
    <xdr:ext cx="4591050" cy="3810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42</xdr:row>
      <xdr:rowOff>38100</xdr:rowOff>
    </xdr:from>
    <xdr:ext cx="1504950" cy="1371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</xdr:colOff>
      <xdr:row>0</xdr:row>
      <xdr:rowOff>0</xdr:rowOff>
    </xdr:from>
    <xdr:ext cx="1581150" cy="5334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123825</xdr:colOff>
      <xdr:row>3</xdr:row>
      <xdr:rowOff>9525</xdr:rowOff>
    </xdr:from>
    <xdr:ext cx="3371850" cy="28194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20</xdr:row>
      <xdr:rowOff>180975</xdr:rowOff>
    </xdr:from>
    <xdr:ext cx="2733675" cy="9239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85725</xdr:rowOff>
    </xdr:from>
    <xdr:ext cx="1485900" cy="3143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28</xdr:row>
      <xdr:rowOff>152400</xdr:rowOff>
    </xdr:from>
    <xdr:ext cx="1200150" cy="231457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5429250" cy="3495675"/>
    <xdr:pic>
      <xdr:nvPicPr>
        <xdr:cNvPr id="0" name="image7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57"/>
    <col customWidth="1" min="3" max="3" width="23.71"/>
    <col customWidth="1" min="4" max="4" width="18.0"/>
    <col customWidth="1" min="5" max="5" width="21.43"/>
    <col customWidth="1" min="6" max="26" width="10.71"/>
  </cols>
  <sheetData>
    <row r="1">
      <c r="A1" s="5" t="s">
        <v>4</v>
      </c>
      <c r="B1" s="5" t="s">
        <v>3</v>
      </c>
      <c r="C1" s="5" t="s">
        <v>5</v>
      </c>
      <c r="D1" s="5" t="s">
        <v>6</v>
      </c>
      <c r="E1" s="5" t="s">
        <v>7</v>
      </c>
    </row>
    <row r="2">
      <c r="B2" s="7">
        <v>3.0</v>
      </c>
      <c r="C2" s="7">
        <v>1.12</v>
      </c>
      <c r="D2" s="7">
        <v>2.5</v>
      </c>
      <c r="E2" s="7">
        <v>0.35</v>
      </c>
    </row>
    <row r="4">
      <c r="A4" s="5" t="s">
        <v>8</v>
      </c>
      <c r="B4" s="8" t="s">
        <v>9</v>
      </c>
      <c r="C4" s="9">
        <v>1.0</v>
      </c>
    </row>
    <row r="5">
      <c r="B5" s="8" t="s">
        <v>10</v>
      </c>
      <c r="C5" s="9">
        <v>1.0</v>
      </c>
    </row>
    <row r="6">
      <c r="B6" s="8" t="s">
        <v>11</v>
      </c>
      <c r="C6" s="9">
        <v>1.15</v>
      </c>
    </row>
    <row r="7">
      <c r="B7" s="8" t="s">
        <v>13</v>
      </c>
      <c r="C7" s="9">
        <v>1.0</v>
      </c>
    </row>
    <row r="8">
      <c r="B8" s="8" t="s">
        <v>14</v>
      </c>
      <c r="C8" s="9">
        <v>0.0</v>
      </c>
    </row>
    <row r="9">
      <c r="B9" s="8" t="s">
        <v>15</v>
      </c>
      <c r="C9" s="9">
        <v>0.0</v>
      </c>
    </row>
    <row r="10">
      <c r="B10" s="8" t="s">
        <v>16</v>
      </c>
      <c r="C10" s="9">
        <v>1.0</v>
      </c>
    </row>
    <row r="11">
      <c r="B11" s="8" t="s">
        <v>17</v>
      </c>
      <c r="C11" s="9">
        <v>0.86</v>
      </c>
    </row>
    <row r="12">
      <c r="B12" s="8" t="s">
        <v>18</v>
      </c>
      <c r="C12" s="9">
        <v>0.91</v>
      </c>
    </row>
    <row r="13">
      <c r="B13" s="8" t="s">
        <v>20</v>
      </c>
      <c r="C13" s="9">
        <v>1.0</v>
      </c>
    </row>
    <row r="14">
      <c r="B14" s="8" t="s">
        <v>21</v>
      </c>
      <c r="C14" s="9">
        <v>1.1</v>
      </c>
    </row>
    <row r="15">
      <c r="B15" s="8" t="s">
        <v>22</v>
      </c>
      <c r="C15" s="9">
        <v>0.95</v>
      </c>
    </row>
    <row r="16">
      <c r="B16" s="8" t="s">
        <v>23</v>
      </c>
      <c r="C16" s="9">
        <v>1.0</v>
      </c>
    </row>
    <row r="17">
      <c r="B17" s="8" t="s">
        <v>24</v>
      </c>
      <c r="C17" s="9">
        <v>1.0</v>
      </c>
    </row>
    <row r="18">
      <c r="B18" s="8" t="s">
        <v>25</v>
      </c>
      <c r="C18" s="9">
        <v>1.04</v>
      </c>
    </row>
    <row r="19">
      <c r="A19" s="5" t="s">
        <v>27</v>
      </c>
      <c r="C19" s="14">
        <f>SUM(C4:C18)</f>
        <v>13.01</v>
      </c>
    </row>
    <row r="21" ht="15.75" customHeight="1"/>
    <row r="22" ht="15.75" customHeight="1">
      <c r="A22" s="5" t="s">
        <v>37</v>
      </c>
      <c r="B22" s="5" t="s">
        <v>39</v>
      </c>
      <c r="C22" s="5" t="s">
        <v>40</v>
      </c>
      <c r="D22" s="5" t="s">
        <v>42</v>
      </c>
      <c r="E22" s="5" t="s">
        <v>43</v>
      </c>
      <c r="F22" s="5" t="s">
        <v>44</v>
      </c>
    </row>
    <row r="23" ht="15.75" customHeight="1">
      <c r="A23" s="5" t="s">
        <v>45</v>
      </c>
      <c r="B23" s="5">
        <v>7.0</v>
      </c>
      <c r="C23" s="7">
        <v>10.0</v>
      </c>
      <c r="D23" s="5">
        <v>15.0</v>
      </c>
      <c r="E23" s="9">
        <v>28.0</v>
      </c>
      <c r="F23" s="16">
        <f t="shared" ref="F23:F27" si="1">C23*E23</f>
        <v>280</v>
      </c>
    </row>
    <row r="24" ht="15.75" customHeight="1">
      <c r="A24" s="5" t="s">
        <v>48</v>
      </c>
      <c r="B24" s="5">
        <v>5.0</v>
      </c>
      <c r="C24" s="7">
        <v>7.0</v>
      </c>
      <c r="D24" s="5">
        <v>10.0</v>
      </c>
      <c r="E24" s="9">
        <v>10.0</v>
      </c>
      <c r="F24" s="16">
        <f t="shared" si="1"/>
        <v>70</v>
      </c>
    </row>
    <row r="25" ht="15.75" customHeight="1">
      <c r="A25" s="5" t="s">
        <v>51</v>
      </c>
      <c r="B25" s="5">
        <v>3.0</v>
      </c>
      <c r="C25" s="7">
        <v>4.0</v>
      </c>
      <c r="D25" s="5">
        <v>6.0</v>
      </c>
      <c r="E25" s="9">
        <v>17.0</v>
      </c>
      <c r="F25" s="16">
        <f t="shared" si="1"/>
        <v>68</v>
      </c>
    </row>
    <row r="26" ht="15.75" customHeight="1">
      <c r="A26" s="5" t="s">
        <v>54</v>
      </c>
      <c r="B26" s="5">
        <v>4.0</v>
      </c>
      <c r="C26" s="7">
        <v>5.0</v>
      </c>
      <c r="D26" s="5">
        <v>7.0</v>
      </c>
      <c r="E26" s="9">
        <v>9.0</v>
      </c>
      <c r="F26" s="16">
        <f t="shared" si="1"/>
        <v>45</v>
      </c>
    </row>
    <row r="27" ht="15.75" customHeight="1">
      <c r="A27" s="5" t="s">
        <v>57</v>
      </c>
      <c r="B27" s="5">
        <v>3.0</v>
      </c>
      <c r="C27" s="7">
        <v>4.0</v>
      </c>
      <c r="D27" s="5">
        <v>6.0</v>
      </c>
      <c r="E27" s="9">
        <v>0.0</v>
      </c>
      <c r="F27" s="16">
        <f t="shared" si="1"/>
        <v>0</v>
      </c>
    </row>
    <row r="28" ht="15.75" customHeight="1">
      <c r="E28" s="5" t="s">
        <v>59</v>
      </c>
      <c r="F28" s="14">
        <f>SUM(F23:F27)</f>
        <v>463</v>
      </c>
    </row>
    <row r="29" ht="15.75" customHeight="1"/>
    <row r="30" ht="15.75" customHeight="1">
      <c r="F30" s="5" t="s">
        <v>60</v>
      </c>
    </row>
    <row r="31" ht="15.75" customHeight="1"/>
    <row r="32" ht="15.75" customHeight="1"/>
    <row r="33" ht="15.75" customHeight="1">
      <c r="A33" s="5" t="s">
        <v>61</v>
      </c>
      <c r="B33" s="14">
        <f>(F28*(0.65+(0.01*C19)))</f>
        <v>361.1863</v>
      </c>
    </row>
    <row r="34" ht="15.75" customHeight="1"/>
    <row r="35" ht="15.75" customHeight="1">
      <c r="A35" s="5" t="s">
        <v>62</v>
      </c>
      <c r="B35" s="5" t="s">
        <v>63</v>
      </c>
    </row>
    <row r="36" ht="15.75" customHeight="1">
      <c r="A36" s="5" t="s">
        <v>64</v>
      </c>
      <c r="B36" s="9">
        <v>46.0</v>
      </c>
    </row>
    <row r="37" ht="15.75" customHeight="1"/>
    <row r="38" ht="15.75" customHeight="1"/>
    <row r="39" ht="15.75" customHeight="1">
      <c r="A39" s="5" t="s">
        <v>65</v>
      </c>
    </row>
    <row r="40" ht="15.75" customHeight="1">
      <c r="A40" s="5" t="s">
        <v>49</v>
      </c>
      <c r="B40" s="14">
        <f>B33*B36</f>
        <v>16614.5698</v>
      </c>
      <c r="C40" s="16" t="s">
        <v>66</v>
      </c>
    </row>
    <row r="41" ht="15.75" customHeight="1">
      <c r="A41" s="5" t="s">
        <v>67</v>
      </c>
      <c r="B41" s="14">
        <f>B40/1000</f>
        <v>16.6145698</v>
      </c>
      <c r="C41" s="16" t="s">
        <v>68</v>
      </c>
    </row>
    <row r="42" ht="15.75" customHeight="1"/>
    <row r="43" ht="15.75" customHeight="1"/>
    <row r="44" ht="15.75" customHeight="1"/>
    <row r="45" ht="15.75" customHeight="1">
      <c r="C45" s="5" t="s">
        <v>69</v>
      </c>
      <c r="D45" s="21">
        <f t="shared" ref="D45:D47" si="2">B52</f>
        <v>69.83434231</v>
      </c>
      <c r="E45" s="16" t="s">
        <v>70</v>
      </c>
    </row>
    <row r="46" ht="15.75" customHeight="1">
      <c r="C46" s="5" t="s">
        <v>71</v>
      </c>
      <c r="D46" s="21">
        <f t="shared" si="2"/>
        <v>11.05004827</v>
      </c>
      <c r="E46" s="16" t="s">
        <v>72</v>
      </c>
    </row>
    <row r="47" ht="15.75" customHeight="1">
      <c r="C47" s="5" t="s">
        <v>55</v>
      </c>
      <c r="D47" s="21">
        <f t="shared" si="2"/>
        <v>6.319822374</v>
      </c>
      <c r="E47" s="16" t="s">
        <v>73</v>
      </c>
    </row>
    <row r="48" ht="15.75" customHeight="1">
      <c r="C48" s="5" t="s">
        <v>74</v>
      </c>
      <c r="D48" s="22">
        <f>C56</f>
        <v>131172917.9</v>
      </c>
      <c r="E48" s="16" t="s">
        <v>75</v>
      </c>
    </row>
    <row r="49" ht="15.75" customHeight="1"/>
    <row r="50" ht="15.75" customHeight="1"/>
    <row r="51" ht="15.75" customHeight="1"/>
    <row r="52" ht="15.75" customHeight="1">
      <c r="A52" s="23" t="s">
        <v>69</v>
      </c>
      <c r="B52" s="14">
        <f>B2*POWER(B41,C2)</f>
        <v>69.83434231</v>
      </c>
      <c r="C52" s="16" t="s">
        <v>70</v>
      </c>
    </row>
    <row r="53" ht="15.75" customHeight="1">
      <c r="A53" s="23" t="s">
        <v>71</v>
      </c>
      <c r="B53" s="14">
        <f>D2*POWER(B52,E2)</f>
        <v>11.05004827</v>
      </c>
      <c r="C53" s="16" t="s">
        <v>72</v>
      </c>
    </row>
    <row r="54" ht="15.75" customHeight="1">
      <c r="A54" s="23" t="s">
        <v>55</v>
      </c>
      <c r="B54" s="14">
        <f>B52/B53</f>
        <v>6.319822374</v>
      </c>
      <c r="C54" s="16" t="s">
        <v>73</v>
      </c>
    </row>
    <row r="55" ht="15.75" customHeight="1">
      <c r="A55" s="23" t="s">
        <v>74</v>
      </c>
      <c r="B55" s="25">
        <f>B54*1878344</f>
        <v>11870800.44</v>
      </c>
      <c r="C55" s="16" t="s">
        <v>77</v>
      </c>
    </row>
    <row r="56" ht="15.75" customHeight="1">
      <c r="C56" s="25">
        <f>B55*B53</f>
        <v>131172917.9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3" width="10.0"/>
    <col customWidth="1" min="4" max="4" width="18.0"/>
    <col customWidth="1" min="5" max="5" width="16.0"/>
    <col customWidth="1" min="6" max="6" width="12.0"/>
    <col customWidth="1" min="7" max="7" width="20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6">
        <f>Proyecto!B2</f>
        <v>3</v>
      </c>
    </row>
    <row r="6">
      <c r="A6" s="4" t="s">
        <v>5</v>
      </c>
      <c r="B6" s="6">
        <f>Proyecto!C2</f>
        <v>1.12</v>
      </c>
    </row>
    <row r="7">
      <c r="A7" s="4" t="s">
        <v>6</v>
      </c>
      <c r="B7" s="6">
        <f>Proyecto!D2</f>
        <v>2.5</v>
      </c>
    </row>
    <row r="8">
      <c r="A8" s="4" t="s">
        <v>7</v>
      </c>
      <c r="B8" s="6">
        <f>Proyecto!E2</f>
        <v>0.35</v>
      </c>
    </row>
    <row r="9">
      <c r="A9" s="4" t="s">
        <v>12</v>
      </c>
      <c r="B9" s="10">
        <f>Proyecto!B33</f>
        <v>361.1863</v>
      </c>
    </row>
    <row r="10">
      <c r="A10" s="4" t="s">
        <v>19</v>
      </c>
      <c r="B10" s="6">
        <f>Proyecto!B36</f>
        <v>46</v>
      </c>
    </row>
    <row r="11">
      <c r="A11" s="4" t="s">
        <v>26</v>
      </c>
      <c r="B11" s="11">
        <v>53.0</v>
      </c>
      <c r="C11" s="2" t="s">
        <v>28</v>
      </c>
    </row>
    <row r="12">
      <c r="A12" s="4" t="s">
        <v>29</v>
      </c>
      <c r="B12" s="12">
        <v>1878344.0</v>
      </c>
      <c r="C12" s="2" t="s">
        <v>30</v>
      </c>
    </row>
    <row r="15">
      <c r="A15" s="3" t="s">
        <v>31</v>
      </c>
    </row>
    <row r="16">
      <c r="A16" s="4" t="s">
        <v>32</v>
      </c>
      <c r="B16" s="13">
        <v>2925.0</v>
      </c>
    </row>
    <row r="17">
      <c r="A17" s="4" t="s">
        <v>33</v>
      </c>
      <c r="B17" s="13">
        <v>2731.0</v>
      </c>
    </row>
    <row r="18">
      <c r="A18" s="4" t="s">
        <v>34</v>
      </c>
      <c r="B18" s="13">
        <v>4731.0</v>
      </c>
    </row>
    <row r="19">
      <c r="A19" s="4" t="s">
        <v>35</v>
      </c>
      <c r="B19" s="13">
        <v>2308.0</v>
      </c>
    </row>
    <row r="20">
      <c r="A20" s="4" t="s">
        <v>36</v>
      </c>
      <c r="B20" s="13">
        <v>178.0</v>
      </c>
    </row>
    <row r="21" ht="15.75" customHeight="1">
      <c r="A21" s="4" t="s">
        <v>38</v>
      </c>
      <c r="B21" s="13">
        <v>37.0</v>
      </c>
    </row>
    <row r="22" ht="15.75" customHeight="1">
      <c r="A22" s="3" t="s">
        <v>41</v>
      </c>
      <c r="B22" s="15">
        <f>SUM(B16:B21)</f>
        <v>12910</v>
      </c>
      <c r="C22" s="2" t="s">
        <v>46</v>
      </c>
    </row>
    <row r="23" ht="15.75" customHeight="1"/>
    <row r="24" ht="15.75" customHeight="1"/>
    <row r="25" ht="31.5" customHeight="1">
      <c r="A25" s="17" t="s">
        <v>47</v>
      </c>
      <c r="B25" s="17" t="s">
        <v>49</v>
      </c>
      <c r="C25" s="17" t="s">
        <v>50</v>
      </c>
      <c r="D25" s="17" t="s">
        <v>52</v>
      </c>
      <c r="E25" s="17" t="s">
        <v>53</v>
      </c>
      <c r="F25" s="17" t="s">
        <v>55</v>
      </c>
      <c r="G25" s="17" t="s">
        <v>56</v>
      </c>
    </row>
    <row r="26" ht="15.75" customHeight="1">
      <c r="A26" s="18" t="s">
        <v>58</v>
      </c>
      <c r="B26" s="19">
        <f>B9*B10</f>
        <v>16614.5698</v>
      </c>
      <c r="C26" s="20">
        <f t="shared" ref="C26:C29" si="1">B26/1000</f>
        <v>16.6145698</v>
      </c>
      <c r="D26" s="20">
        <f t="shared" ref="D26:D29" si="2">$B$5*POWER(C26,$B$6)</f>
        <v>69.83434231</v>
      </c>
      <c r="E26" s="20">
        <f t="shared" ref="E26:E29" si="3">$B$7*POWER(D26,$B$8)</f>
        <v>11.05004827</v>
      </c>
      <c r="F26" s="20">
        <f t="shared" ref="F26:F29" si="4">D26/E26</f>
        <v>6.319822374</v>
      </c>
      <c r="G26" s="24">
        <f t="shared" ref="G26:G29" si="5">F26*$B$12*E26</f>
        <v>131172917.9</v>
      </c>
    </row>
    <row r="27" ht="15.75" customHeight="1">
      <c r="A27" s="18" t="s">
        <v>76</v>
      </c>
      <c r="B27" s="19">
        <f>B9*B11</f>
        <v>19142.8739</v>
      </c>
      <c r="C27" s="20">
        <f t="shared" si="1"/>
        <v>19.1428739</v>
      </c>
      <c r="D27" s="20">
        <f t="shared" si="2"/>
        <v>81.84068389</v>
      </c>
      <c r="E27" s="20">
        <f t="shared" si="3"/>
        <v>11.68097908</v>
      </c>
      <c r="F27" s="20">
        <f t="shared" si="4"/>
        <v>7.006320561</v>
      </c>
      <c r="G27" s="24">
        <f t="shared" si="5"/>
        <v>153724957.5</v>
      </c>
    </row>
    <row r="28" ht="15.75" customHeight="1">
      <c r="A28" s="18" t="s">
        <v>78</v>
      </c>
      <c r="B28" s="19">
        <f>B16</f>
        <v>2925</v>
      </c>
      <c r="C28" s="20">
        <f t="shared" si="1"/>
        <v>2.925</v>
      </c>
      <c r="D28" s="20">
        <f t="shared" si="2"/>
        <v>9.981187857</v>
      </c>
      <c r="E28" s="20">
        <f t="shared" si="3"/>
        <v>5.593115516</v>
      </c>
      <c r="F28" s="20">
        <f t="shared" si="4"/>
        <v>1.784548849</v>
      </c>
      <c r="G28" s="24">
        <f t="shared" si="5"/>
        <v>18748104.32</v>
      </c>
    </row>
    <row r="29" ht="15.75" customHeight="1">
      <c r="A29" s="18" t="s">
        <v>79</v>
      </c>
      <c r="B29" s="19">
        <f>B22</f>
        <v>12910</v>
      </c>
      <c r="C29" s="20">
        <f t="shared" si="1"/>
        <v>12.91</v>
      </c>
      <c r="D29" s="20">
        <f t="shared" si="2"/>
        <v>52.64518377</v>
      </c>
      <c r="E29" s="20">
        <f t="shared" si="3"/>
        <v>10.00957262</v>
      </c>
      <c r="F29" s="20">
        <f t="shared" si="4"/>
        <v>5.259483673</v>
      </c>
      <c r="G29" s="24">
        <f t="shared" si="5"/>
        <v>98885765.07</v>
      </c>
    </row>
    <row r="30" ht="15.75" customHeight="1"/>
    <row r="31" ht="15.75" customHeight="1">
      <c r="A31" s="2" t="s">
        <v>80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2024-02-09T21:52:18Z</dcterms:created>
  <dc:creator>APRENDIZ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